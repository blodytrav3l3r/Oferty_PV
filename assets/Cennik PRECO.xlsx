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dy\Desktop\"/>
    </mc:Choice>
  </mc:AlternateContent>
  <bookViews>
    <workbookView xWindow="0" yWindow="0" windowWidth="28740" windowHeight="12630" activeTab="1"/>
  </bookViews>
  <sheets>
    <sheet name="DN 1000, DN 1200" sheetId="10" r:id="rId1"/>
    <sheet name="DN 1500" sheetId="14" r:id="rId2"/>
    <sheet name="DN 2000" sheetId="13" r:id="rId3"/>
    <sheet name="DN 2500" sheetId="15" r:id="rId4"/>
  </sheets>
  <definedNames>
    <definedName name="_xlnm.Print_Area" localSheetId="0">'DN 1000, DN 1200'!$A$1:$G$38</definedName>
    <definedName name="_xlnm.Print_Area" localSheetId="1">'DN 1500'!$A$1:$F$43</definedName>
    <definedName name="_xlnm.Print_Area" localSheetId="2">'DN 2000'!$A$1:$F$43</definedName>
    <definedName name="_xlnm.Print_Area" localSheetId="3">'DN 2500'!$A$1:$F$51</definedName>
  </definedNames>
  <calcPr calcId="152511" iterateDelta="1E-4"/>
</workbook>
</file>

<file path=xl/calcChain.xml><?xml version="1.0" encoding="utf-8"?>
<calcChain xmlns="http://schemas.openxmlformats.org/spreadsheetml/2006/main">
  <c r="C18" i="15" l="1"/>
  <c r="C19" i="15" s="1"/>
  <c r="C20" i="15" s="1"/>
  <c r="C21" i="15" s="1"/>
  <c r="C17" i="15"/>
  <c r="B18" i="15"/>
  <c r="B19" i="15" s="1"/>
  <c r="B20" i="15" s="1"/>
  <c r="B21" i="15" s="1"/>
  <c r="B17" i="15"/>
  <c r="C16" i="15"/>
  <c r="B16" i="15"/>
  <c r="D50" i="15"/>
  <c r="D48" i="15"/>
</calcChain>
</file>

<file path=xl/sharedStrings.xml><?xml version="1.0" encoding="utf-8"?>
<sst xmlns="http://schemas.openxmlformats.org/spreadsheetml/2006/main" count="149" uniqueCount="55">
  <si>
    <t>&gt; 100 mm</t>
  </si>
  <si>
    <t>&gt;4 - 10 %</t>
  </si>
  <si>
    <t>&gt;10 - 20%</t>
  </si>
  <si>
    <t>&gt;20%</t>
  </si>
  <si>
    <t>Kineta</t>
  </si>
  <si>
    <t>Prosta</t>
  </si>
  <si>
    <t>w cenie</t>
  </si>
  <si>
    <t>Dopłata za spadek w mufie</t>
  </si>
  <si>
    <t>śr. 150 - 300</t>
  </si>
  <si>
    <t>do    6 %</t>
  </si>
  <si>
    <t>Dopłata za spadek w kinecie</t>
  </si>
  <si>
    <t>śr. 150 - 600</t>
  </si>
  <si>
    <t>od 4-20%</t>
  </si>
  <si>
    <t>Wloty nie w linii górnej (uniesienie kinety)</t>
  </si>
  <si>
    <t xml:space="preserve"> śr. 150 - 300</t>
  </si>
  <si>
    <t>do 100 mm</t>
  </si>
  <si>
    <t>do 200 mm</t>
  </si>
  <si>
    <t>do 300 mm</t>
  </si>
  <si>
    <t>Redukcja kinety</t>
  </si>
  <si>
    <t>Wbudowanie skrzynki włazowej do kinety</t>
  </si>
  <si>
    <t>-</t>
  </si>
  <si>
    <t>Wkładki do studni  1000</t>
  </si>
  <si>
    <t>Wkładki do studni  1200</t>
  </si>
  <si>
    <t>7-  12 %</t>
  </si>
  <si>
    <t>31 - 40%</t>
  </si>
  <si>
    <t>13 - 30 %</t>
  </si>
  <si>
    <t>41 - 50%</t>
  </si>
  <si>
    <t>2 - 10 %</t>
  </si>
  <si>
    <t xml:space="preserve"> 21 - 25%</t>
  </si>
  <si>
    <t>11 - 15 %</t>
  </si>
  <si>
    <t>26 - 40%</t>
  </si>
  <si>
    <t>16 - 20 %</t>
  </si>
  <si>
    <t>41 - 60%</t>
  </si>
  <si>
    <t>Wkładki do studni DN 1500</t>
  </si>
  <si>
    <t>dod.wlot w linii górnej</t>
  </si>
  <si>
    <t>Wyloty nie w linii górnej (uniesienie kinety)</t>
  </si>
  <si>
    <t>do 400 mm</t>
  </si>
  <si>
    <t>do 500 mm</t>
  </si>
  <si>
    <t>Dodatek za kinetę przebiegającą nie przez środek wkładki</t>
  </si>
  <si>
    <t>do 600 mm</t>
  </si>
  <si>
    <t>2 - 4 %</t>
  </si>
  <si>
    <t>2-4%</t>
  </si>
  <si>
    <t>do DN 300</t>
  </si>
  <si>
    <t>DN 350 do 600</t>
  </si>
  <si>
    <t>Wkładki do studni DN 2000</t>
  </si>
  <si>
    <t>W przypadku wystąpienia  spadku w kinecie , spadku w mufie,  wloty w linii górnej obowiązuja poniższe ceny (jako dopłaty)</t>
  </si>
  <si>
    <t>śr. 400 - 800</t>
  </si>
  <si>
    <t>śr. 400 - 600</t>
  </si>
  <si>
    <t>do 50 mm</t>
  </si>
  <si>
    <t>dod.wlot  w linii górnej</t>
  </si>
  <si>
    <t>Wkładki do studni DN 2500</t>
  </si>
  <si>
    <t>DN 150 - DN 2200</t>
  </si>
  <si>
    <t>DN 700 do 2200</t>
  </si>
  <si>
    <t>DN 150 - DN 1200</t>
  </si>
  <si>
    <t>DN 700 do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</si>
</sst>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80" formatCode="_-* #,##0.00\ &quot;DM&quot;_-;\-* #,##0.00\ &quot;DM&quot;_-;_-* &quot;-&quot;??\ &quot;DM&quot;_-;_-@_-"/>
    <numFmt numFmtId="182" formatCode="_-* #,##0.00\ [$€-1]_-;\-* #,##0.00\ [$€-1]_-;_-* &quot;-&quot;??\ [$€-1]_-"/>
    <numFmt numFmtId="187" formatCode="#,##0.00\ [$€-1]"/>
    <numFmt numFmtId="188" formatCode="_-* #,##0.00\ [$zł-415]_-;\-* #,##0.00\ [$zł-415]_-;_-* &quot;-&quot;??\ [$zł-415]_-;_-@_-"/>
    <numFmt numFmtId="189" formatCode="#,##0.00\ &quot;zł&quot;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  <charset val="238"/>
    </font>
    <font>
      <sz val="10"/>
      <name val="Arial"/>
      <family val="2"/>
    </font>
    <font>
      <b/>
      <sz val="12"/>
      <name val="Arial Black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rgb="FFFF0000"/>
      <name val="Arial"/>
      <family val="2"/>
    </font>
    <font>
      <sz val="10"/>
      <color theme="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82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180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0" xfId="0" applyFont="1"/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0" xfId="0" applyFont="1"/>
    <xf numFmtId="0" fontId="4" fillId="0" borderId="0" xfId="2" applyFont="1" applyAlignment="1" applyProtection="1">
      <alignment horizontal="left"/>
    </xf>
    <xf numFmtId="0" fontId="3" fillId="0" borderId="0" xfId="2" applyAlignment="1" applyProtection="1">
      <alignment horizontal="left"/>
    </xf>
    <xf numFmtId="0" fontId="2" fillId="0" borderId="0" xfId="0" applyFont="1" applyBorder="1" applyAlignment="1">
      <alignment horizontal="center"/>
    </xf>
    <xf numFmtId="0" fontId="2" fillId="0" borderId="0" xfId="2" applyFont="1" applyAlignment="1" applyProtection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189" fontId="4" fillId="0" borderId="1" xfId="1" applyNumberFormat="1" applyFont="1" applyBorder="1" applyAlignment="1">
      <alignment horizontal="center"/>
    </xf>
    <xf numFmtId="189" fontId="8" fillId="0" borderId="1" xfId="1" applyNumberFormat="1" applyFont="1" applyBorder="1" applyAlignment="1">
      <alignment horizontal="center"/>
    </xf>
    <xf numFmtId="189" fontId="8" fillId="0" borderId="0" xfId="1" applyNumberFormat="1" applyFont="1" applyBorder="1" applyAlignment="1">
      <alignment horizontal="center"/>
    </xf>
    <xf numFmtId="189" fontId="9" fillId="0" borderId="1" xfId="1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right"/>
    </xf>
    <xf numFmtId="182" fontId="4" fillId="3" borderId="3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right"/>
    </xf>
    <xf numFmtId="182" fontId="4" fillId="3" borderId="0" xfId="1" applyFont="1" applyFill="1" applyBorder="1" applyAlignment="1">
      <alignment horizontal="center"/>
    </xf>
    <xf numFmtId="0" fontId="4" fillId="3" borderId="1" xfId="0" applyFont="1" applyFill="1" applyBorder="1"/>
    <xf numFmtId="0" fontId="4" fillId="3" borderId="0" xfId="0" applyFont="1" applyFill="1"/>
    <xf numFmtId="189" fontId="0" fillId="0" borderId="0" xfId="0" applyNumberFormat="1"/>
    <xf numFmtId="189" fontId="4" fillId="0" borderId="0" xfId="1" applyNumberFormat="1" applyFont="1" applyBorder="1" applyAlignment="1">
      <alignment horizontal="center"/>
    </xf>
    <xf numFmtId="0" fontId="2" fillId="3" borderId="3" xfId="0" applyFont="1" applyFill="1" applyBorder="1"/>
    <xf numFmtId="0" fontId="4" fillId="3" borderId="5" xfId="0" applyFont="1" applyFill="1" applyBorder="1" applyAlignment="1">
      <alignment horizontal="center"/>
    </xf>
    <xf numFmtId="0" fontId="4" fillId="3" borderId="5" xfId="0" applyFont="1" applyFill="1" applyBorder="1"/>
    <xf numFmtId="182" fontId="4" fillId="3" borderId="6" xfId="1" applyFont="1" applyFill="1" applyBorder="1"/>
    <xf numFmtId="0" fontId="4" fillId="3" borderId="4" xfId="0" applyFont="1" applyFill="1" applyBorder="1" applyAlignment="1">
      <alignment horizontal="center"/>
    </xf>
    <xf numFmtId="182" fontId="4" fillId="3" borderId="2" xfId="1" applyFont="1" applyFill="1" applyBorder="1" applyAlignment="1">
      <alignment horizontal="right"/>
    </xf>
    <xf numFmtId="189" fontId="4" fillId="3" borderId="1" xfId="1" applyNumberFormat="1" applyFont="1" applyFill="1" applyBorder="1" applyAlignment="1">
      <alignment horizontal="center"/>
    </xf>
    <xf numFmtId="182" fontId="4" fillId="3" borderId="3" xfId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6" xfId="0" applyFont="1" applyFill="1" applyBorder="1"/>
    <xf numFmtId="0" fontId="4" fillId="3" borderId="3" xfId="0" applyFont="1" applyFill="1" applyBorder="1"/>
    <xf numFmtId="182" fontId="4" fillId="3" borderId="4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4" fillId="3" borderId="0" xfId="0" applyFont="1" applyFill="1" applyBorder="1"/>
    <xf numFmtId="0" fontId="0" fillId="3" borderId="4" xfId="0" applyFill="1" applyBorder="1" applyAlignment="1">
      <alignment horizontal="right"/>
    </xf>
    <xf numFmtId="189" fontId="7" fillId="3" borderId="1" xfId="1" applyNumberFormat="1" applyFont="1" applyFill="1" applyBorder="1" applyAlignment="1">
      <alignment horizontal="center"/>
    </xf>
    <xf numFmtId="182" fontId="7" fillId="3" borderId="0" xfId="1" applyFont="1" applyFill="1" applyBorder="1" applyAlignment="1">
      <alignment horizontal="center"/>
    </xf>
    <xf numFmtId="0" fontId="7" fillId="3" borderId="0" xfId="0" applyFont="1" applyFill="1" applyBorder="1"/>
    <xf numFmtId="0" fontId="2" fillId="3" borderId="3" xfId="0" applyFont="1" applyFill="1" applyBorder="1" applyAlignment="1">
      <alignment horizontal="left"/>
    </xf>
    <xf numFmtId="182" fontId="7" fillId="3" borderId="3" xfId="1" applyFont="1" applyFill="1" applyBorder="1" applyAlignment="1">
      <alignment horizontal="center"/>
    </xf>
    <xf numFmtId="0" fontId="7" fillId="3" borderId="5" xfId="0" applyFont="1" applyFill="1" applyBorder="1"/>
    <xf numFmtId="182" fontId="7" fillId="3" borderId="6" xfId="1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189" fontId="7" fillId="3" borderId="0" xfId="1" applyNumberFormat="1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0" borderId="0" xfId="0" applyBorder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89" fontId="9" fillId="3" borderId="1" xfId="1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right"/>
    </xf>
    <xf numFmtId="182" fontId="9" fillId="3" borderId="9" xfId="1" applyFont="1" applyFill="1" applyBorder="1" applyAlignment="1">
      <alignment horizontal="center"/>
    </xf>
    <xf numFmtId="182" fontId="9" fillId="3" borderId="3" xfId="1" applyFont="1" applyFill="1" applyBorder="1" applyAlignment="1">
      <alignment horizontal="center"/>
    </xf>
    <xf numFmtId="189" fontId="9" fillId="3" borderId="3" xfId="0" applyNumberFormat="1" applyFont="1" applyFill="1" applyBorder="1"/>
    <xf numFmtId="0" fontId="0" fillId="3" borderId="5" xfId="0" applyFill="1" applyBorder="1"/>
    <xf numFmtId="182" fontId="4" fillId="3" borderId="6" xfId="1" applyFont="1" applyFill="1" applyBorder="1" applyAlignment="1">
      <alignment horizontal="center"/>
    </xf>
    <xf numFmtId="189" fontId="8" fillId="3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88" fontId="4" fillId="0" borderId="1" xfId="1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82" fontId="4" fillId="0" borderId="0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88" fontId="4" fillId="3" borderId="1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2" fontId="4" fillId="3" borderId="0" xfId="1" applyFont="1" applyFill="1" applyBorder="1" applyAlignment="1">
      <alignment horizontal="center" vertical="center"/>
    </xf>
    <xf numFmtId="188" fontId="7" fillId="3" borderId="1" xfId="1" applyNumberFormat="1" applyFont="1" applyFill="1" applyBorder="1" applyAlignment="1">
      <alignment horizontal="center" vertical="center"/>
    </xf>
    <xf numFmtId="182" fontId="7" fillId="3" borderId="1" xfId="1" applyFont="1" applyFill="1" applyBorder="1" applyAlignment="1">
      <alignment horizontal="center" vertical="center"/>
    </xf>
    <xf numFmtId="182" fontId="7" fillId="0" borderId="0" xfId="1" applyFont="1" applyBorder="1" applyAlignment="1">
      <alignment horizontal="center" vertical="center"/>
    </xf>
    <xf numFmtId="188" fontId="7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82" fontId="4" fillId="3" borderId="1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7" fontId="7" fillId="0" borderId="0" xfId="0" applyNumberFormat="1" applyFont="1" applyBorder="1" applyAlignment="1">
      <alignment horizontal="center" vertical="center"/>
    </xf>
    <xf numFmtId="0" fontId="4" fillId="0" borderId="0" xfId="2" applyFont="1" applyAlignment="1" applyProtection="1">
      <alignment horizontal="center" vertical="center"/>
    </xf>
    <xf numFmtId="182" fontId="4" fillId="3" borderId="0" xfId="1" applyFont="1" applyFill="1" applyBorder="1"/>
    <xf numFmtId="182" fontId="4" fillId="3" borderId="0" xfId="1" applyFont="1" applyFill="1" applyBorder="1" applyAlignment="1">
      <alignment horizontal="center"/>
    </xf>
    <xf numFmtId="0" fontId="0" fillId="3" borderId="0" xfId="0" applyFill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182" fontId="4" fillId="3" borderId="1" xfId="1" applyFont="1" applyFill="1" applyBorder="1" applyAlignment="1">
      <alignment horizontal="right"/>
    </xf>
    <xf numFmtId="0" fontId="0" fillId="0" borderId="0" xfId="0" applyFill="1"/>
    <xf numFmtId="0" fontId="2" fillId="0" borderId="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3" borderId="5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88" fontId="4" fillId="0" borderId="1" xfId="3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shrinkToFit="1"/>
    </xf>
    <xf numFmtId="0" fontId="0" fillId="2" borderId="15" xfId="0" applyFill="1" applyBorder="1" applyAlignment="1">
      <alignment horizontal="center" vertical="center" shrinkToFit="1"/>
    </xf>
    <xf numFmtId="0" fontId="0" fillId="2" borderId="16" xfId="0" applyFill="1" applyBorder="1" applyAlignment="1">
      <alignment horizontal="center" vertical="center" shrinkToFit="1"/>
    </xf>
    <xf numFmtId="0" fontId="0" fillId="2" borderId="7" xfId="0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0" fontId="5" fillId="2" borderId="15" xfId="0" applyFont="1" applyFill="1" applyBorder="1" applyAlignment="1">
      <alignment horizontal="center" vertical="center" shrinkToFit="1"/>
    </xf>
    <xf numFmtId="0" fontId="5" fillId="2" borderId="16" xfId="0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shrinkToFit="1"/>
    </xf>
    <xf numFmtId="0" fontId="4" fillId="3" borderId="0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82" fontId="4" fillId="3" borderId="0" xfId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82" fontId="2" fillId="3" borderId="9" xfId="1" applyFont="1" applyFill="1" applyBorder="1" applyAlignment="1">
      <alignment horizontal="center"/>
    </xf>
    <xf numFmtId="182" fontId="2" fillId="3" borderId="17" xfId="1" applyFont="1" applyFill="1" applyBorder="1" applyAlignment="1">
      <alignment horizontal="center"/>
    </xf>
    <xf numFmtId="189" fontId="7" fillId="3" borderId="3" xfId="0" applyNumberFormat="1" applyFont="1" applyFill="1" applyBorder="1" applyAlignment="1">
      <alignment horizontal="center"/>
    </xf>
    <xf numFmtId="189" fontId="7" fillId="3" borderId="5" xfId="0" applyNumberFormat="1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shrinkToFit="1"/>
    </xf>
    <xf numFmtId="0" fontId="5" fillId="2" borderId="15" xfId="0" applyFont="1" applyFill="1" applyBorder="1" applyAlignment="1">
      <alignment horizontal="center" shrinkToFit="1"/>
    </xf>
    <xf numFmtId="0" fontId="5" fillId="2" borderId="16" xfId="0" applyFont="1" applyFill="1" applyBorder="1" applyAlignment="1">
      <alignment horizontal="center" shrinkToFit="1"/>
    </xf>
    <xf numFmtId="0" fontId="5" fillId="2" borderId="7" xfId="0" applyFont="1" applyFill="1" applyBorder="1" applyAlignment="1">
      <alignment horizontal="center" shrinkToFit="1"/>
    </xf>
    <xf numFmtId="0" fontId="5" fillId="2" borderId="8" xfId="0" applyFont="1" applyFill="1" applyBorder="1" applyAlignment="1">
      <alignment horizontal="center" shrinkToFit="1"/>
    </xf>
    <xf numFmtId="0" fontId="5" fillId="2" borderId="13" xfId="0" applyFont="1" applyFill="1" applyBorder="1" applyAlignment="1">
      <alignment horizontal="center" shrinkToFit="1"/>
    </xf>
    <xf numFmtId="0" fontId="2" fillId="0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189" fontId="9" fillId="0" borderId="3" xfId="1" applyNumberFormat="1" applyFont="1" applyBorder="1" applyAlignment="1">
      <alignment horizontal="center"/>
    </xf>
    <xf numFmtId="189" fontId="9" fillId="0" borderId="6" xfId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3" borderId="18" xfId="0" applyFont="1" applyFill="1" applyBorder="1" applyAlignment="1">
      <alignment horizontal="center" wrapText="1"/>
    </xf>
    <xf numFmtId="182" fontId="4" fillId="3" borderId="19" xfId="1" applyFont="1" applyFill="1" applyBorder="1" applyAlignment="1">
      <alignment horizontal="center"/>
    </xf>
    <xf numFmtId="182" fontId="4" fillId="3" borderId="11" xfId="1" applyFont="1" applyFill="1" applyBorder="1" applyAlignment="1">
      <alignment horizontal="center"/>
    </xf>
    <xf numFmtId="189" fontId="9" fillId="0" borderId="0" xfId="1" applyNumberFormat="1" applyFont="1" applyBorder="1" applyAlignment="1">
      <alignment horizontal="center"/>
    </xf>
    <xf numFmtId="189" fontId="9" fillId="0" borderId="1" xfId="1" applyNumberFormat="1" applyFont="1" applyBorder="1" applyAlignment="1">
      <alignment horizontal="center"/>
    </xf>
  </cellXfs>
  <cellStyles count="4">
    <cellStyle name="Euro" xfId="1"/>
    <cellStyle name="Hiperłącze" xfId="2" builtinId="8"/>
    <cellStyle name="Normalny" xfId="0" builtinId="0"/>
    <cellStyle name="Walutowy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workbookViewId="0">
      <selection activeCell="B37" sqref="B37:E37"/>
    </sheetView>
  </sheetViews>
  <sheetFormatPr defaultColWidth="11.42578125" defaultRowHeight="12.75" x14ac:dyDescent="0.2"/>
  <cols>
    <col min="1" max="2" width="11.42578125" style="85" customWidth="1"/>
    <col min="3" max="3" width="22.85546875" style="85" customWidth="1"/>
    <col min="4" max="4" width="19.42578125" style="85" customWidth="1"/>
    <col min="5" max="5" width="11.42578125" style="85" customWidth="1"/>
    <col min="6" max="6" width="12.28515625" style="85" bestFit="1" customWidth="1"/>
    <col min="7" max="7" width="22.42578125" style="85" customWidth="1"/>
    <col min="8" max="8" width="4.7109375" style="85" customWidth="1"/>
    <col min="9" max="16384" width="11.42578125" style="85"/>
  </cols>
  <sheetData>
    <row r="1" spans="1:11" ht="13.5" thickBot="1" x14ac:dyDescent="0.25">
      <c r="A1" s="67"/>
      <c r="B1" s="67"/>
      <c r="C1" s="67"/>
    </row>
    <row r="2" spans="1:11" x14ac:dyDescent="0.2">
      <c r="A2" s="118" t="s">
        <v>21</v>
      </c>
      <c r="B2" s="119"/>
      <c r="C2" s="120"/>
      <c r="E2" s="118" t="s">
        <v>22</v>
      </c>
      <c r="F2" s="124"/>
      <c r="G2" s="125"/>
    </row>
    <row r="3" spans="1:11" ht="13.5" thickBot="1" x14ac:dyDescent="0.25">
      <c r="A3" s="121"/>
      <c r="B3" s="122"/>
      <c r="C3" s="123"/>
      <c r="E3" s="126"/>
      <c r="F3" s="127"/>
      <c r="G3" s="128"/>
    </row>
    <row r="4" spans="1:11" x14ac:dyDescent="0.2">
      <c r="A4" s="11" t="s">
        <v>4</v>
      </c>
      <c r="B4" s="11" t="s">
        <v>5</v>
      </c>
      <c r="C4" s="13" t="s">
        <v>49</v>
      </c>
      <c r="E4" s="12" t="s">
        <v>4</v>
      </c>
      <c r="F4" s="12" t="s">
        <v>5</v>
      </c>
      <c r="G4" s="13" t="s">
        <v>49</v>
      </c>
    </row>
    <row r="5" spans="1:11" x14ac:dyDescent="0.2">
      <c r="A5" s="11">
        <v>150</v>
      </c>
      <c r="B5" s="68">
        <v>920</v>
      </c>
      <c r="C5" s="111">
        <v>300</v>
      </c>
      <c r="E5" s="11">
        <v>150</v>
      </c>
      <c r="F5" s="68">
        <v>1050</v>
      </c>
      <c r="G5" s="111">
        <v>350</v>
      </c>
      <c r="J5" s="86"/>
      <c r="K5" s="86"/>
    </row>
    <row r="6" spans="1:11" x14ac:dyDescent="0.2">
      <c r="A6" s="11">
        <v>200</v>
      </c>
      <c r="B6" s="68">
        <v>990</v>
      </c>
      <c r="C6" s="111">
        <v>300</v>
      </c>
      <c r="E6" s="11">
        <v>200</v>
      </c>
      <c r="F6" s="68">
        <v>1200</v>
      </c>
      <c r="G6" s="111">
        <v>350</v>
      </c>
      <c r="J6" s="86"/>
      <c r="K6" s="86"/>
    </row>
    <row r="7" spans="1:11" x14ac:dyDescent="0.2">
      <c r="A7" s="11">
        <v>250</v>
      </c>
      <c r="B7" s="68">
        <v>1200</v>
      </c>
      <c r="C7" s="111">
        <v>300</v>
      </c>
      <c r="E7" s="11">
        <v>250</v>
      </c>
      <c r="F7" s="68">
        <v>1350</v>
      </c>
      <c r="G7" s="111">
        <v>400</v>
      </c>
      <c r="J7" s="86"/>
      <c r="K7" s="86"/>
    </row>
    <row r="8" spans="1:11" x14ac:dyDescent="0.2">
      <c r="A8" s="11">
        <v>300</v>
      </c>
      <c r="B8" s="68">
        <v>1300</v>
      </c>
      <c r="C8" s="111">
        <v>300</v>
      </c>
      <c r="E8" s="11">
        <v>300</v>
      </c>
      <c r="F8" s="68">
        <v>1400</v>
      </c>
      <c r="G8" s="111">
        <v>450</v>
      </c>
      <c r="J8" s="86"/>
      <c r="K8" s="86"/>
    </row>
    <row r="9" spans="1:11" x14ac:dyDescent="0.2">
      <c r="A9" s="11">
        <v>400</v>
      </c>
      <c r="B9" s="68">
        <v>1520</v>
      </c>
      <c r="C9" s="111">
        <v>550</v>
      </c>
      <c r="E9" s="11">
        <v>400</v>
      </c>
      <c r="F9" s="68">
        <v>1550</v>
      </c>
      <c r="G9" s="111">
        <v>600</v>
      </c>
      <c r="J9" s="86"/>
      <c r="K9" s="86"/>
    </row>
    <row r="10" spans="1:11" x14ac:dyDescent="0.2">
      <c r="A10" s="11">
        <v>500</v>
      </c>
      <c r="B10" s="68">
        <v>1680</v>
      </c>
      <c r="C10" s="111">
        <v>750</v>
      </c>
      <c r="E10" s="11">
        <v>500</v>
      </c>
      <c r="F10" s="68">
        <v>1800</v>
      </c>
      <c r="G10" s="111">
        <v>750</v>
      </c>
      <c r="J10" s="86"/>
      <c r="K10" s="86"/>
    </row>
    <row r="11" spans="1:11" x14ac:dyDescent="0.2">
      <c r="A11" s="11">
        <v>600</v>
      </c>
      <c r="B11" s="68">
        <v>1790</v>
      </c>
      <c r="C11" s="111">
        <v>850</v>
      </c>
      <c r="E11" s="11">
        <v>600</v>
      </c>
      <c r="F11" s="68">
        <v>1920</v>
      </c>
      <c r="G11" s="111">
        <v>900</v>
      </c>
      <c r="J11" s="86"/>
      <c r="K11" s="86"/>
    </row>
    <row r="12" spans="1:11" x14ac:dyDescent="0.2">
      <c r="A12" s="69"/>
      <c r="B12" s="70"/>
      <c r="C12" s="70"/>
      <c r="E12" s="11">
        <v>800</v>
      </c>
      <c r="F12" s="68">
        <v>2600</v>
      </c>
      <c r="G12" s="111">
        <v>1450</v>
      </c>
      <c r="J12" s="86"/>
      <c r="K12" s="86"/>
    </row>
    <row r="13" spans="1:11" x14ac:dyDescent="0.2">
      <c r="A13" s="71"/>
      <c r="B13" s="71"/>
      <c r="C13" s="71"/>
      <c r="E13" s="71"/>
      <c r="F13" s="72"/>
      <c r="G13" s="71"/>
    </row>
    <row r="14" spans="1:11" x14ac:dyDescent="0.2">
      <c r="A14" s="71"/>
      <c r="B14" s="71"/>
      <c r="C14" s="71"/>
      <c r="E14" s="71"/>
      <c r="F14" s="72"/>
      <c r="G14" s="71"/>
    </row>
    <row r="15" spans="1:11" x14ac:dyDescent="0.2">
      <c r="A15" s="129" t="s">
        <v>45</v>
      </c>
      <c r="B15" s="130"/>
      <c r="C15" s="130"/>
      <c r="D15" s="130"/>
      <c r="E15" s="130"/>
      <c r="F15" s="130"/>
      <c r="G15" s="130"/>
    </row>
    <row r="16" spans="1:11" x14ac:dyDescent="0.2">
      <c r="A16" s="115" t="s">
        <v>10</v>
      </c>
      <c r="B16" s="115"/>
      <c r="C16" s="115"/>
      <c r="D16" s="87"/>
      <c r="E16" s="115" t="s">
        <v>10</v>
      </c>
      <c r="F16" s="115"/>
      <c r="G16" s="115"/>
    </row>
    <row r="17" spans="1:7" x14ac:dyDescent="0.2">
      <c r="A17" s="88"/>
      <c r="B17" s="116" t="s">
        <v>11</v>
      </c>
      <c r="C17" s="117"/>
      <c r="D17" s="87"/>
      <c r="E17" s="88"/>
      <c r="F17" s="73" t="s">
        <v>8</v>
      </c>
      <c r="G17" s="74" t="s">
        <v>46</v>
      </c>
    </row>
    <row r="18" spans="1:7" x14ac:dyDescent="0.2">
      <c r="A18" s="89" t="s">
        <v>41</v>
      </c>
      <c r="B18" s="21"/>
      <c r="C18" s="75">
        <v>250</v>
      </c>
      <c r="D18" s="90"/>
      <c r="E18" s="88" t="s">
        <v>40</v>
      </c>
      <c r="F18" s="75">
        <v>250</v>
      </c>
      <c r="G18" s="75">
        <v>400</v>
      </c>
    </row>
    <row r="19" spans="1:7" x14ac:dyDescent="0.2">
      <c r="A19" s="89" t="s">
        <v>12</v>
      </c>
      <c r="B19" s="21"/>
      <c r="C19" s="75">
        <v>450</v>
      </c>
      <c r="D19" s="87"/>
      <c r="E19" s="91" t="s">
        <v>1</v>
      </c>
      <c r="F19" s="75">
        <v>400</v>
      </c>
      <c r="G19" s="75">
        <v>500</v>
      </c>
    </row>
    <row r="20" spans="1:7" x14ac:dyDescent="0.2">
      <c r="A20" s="87"/>
      <c r="B20" s="87"/>
      <c r="C20" s="87"/>
      <c r="D20" s="87"/>
      <c r="E20" s="91" t="s">
        <v>2</v>
      </c>
      <c r="F20" s="75">
        <v>500</v>
      </c>
      <c r="G20" s="75">
        <v>650</v>
      </c>
    </row>
    <row r="21" spans="1:7" x14ac:dyDescent="0.2">
      <c r="A21" s="87"/>
      <c r="B21" s="87"/>
      <c r="C21" s="87"/>
      <c r="D21" s="87"/>
      <c r="E21" s="91" t="s">
        <v>3</v>
      </c>
      <c r="F21" s="75">
        <v>600</v>
      </c>
      <c r="G21" s="75">
        <v>750</v>
      </c>
    </row>
    <row r="22" spans="1:7" x14ac:dyDescent="0.2">
      <c r="A22" s="87"/>
      <c r="B22" s="87"/>
      <c r="C22" s="87"/>
      <c r="D22" s="87"/>
      <c r="E22" s="78"/>
      <c r="F22" s="78"/>
      <c r="G22" s="78"/>
    </row>
    <row r="23" spans="1:7" x14ac:dyDescent="0.2">
      <c r="A23" s="109" t="s">
        <v>13</v>
      </c>
      <c r="B23" s="108"/>
      <c r="C23" s="108"/>
      <c r="D23" s="87"/>
      <c r="E23" s="116" t="s">
        <v>13</v>
      </c>
      <c r="F23" s="117"/>
      <c r="G23" s="117"/>
    </row>
    <row r="24" spans="1:7" x14ac:dyDescent="0.2">
      <c r="A24" s="88"/>
      <c r="B24" s="76" t="s">
        <v>14</v>
      </c>
      <c r="C24" s="77" t="s">
        <v>47</v>
      </c>
      <c r="D24" s="87"/>
      <c r="E24" s="88"/>
      <c r="F24" s="76" t="s">
        <v>8</v>
      </c>
      <c r="G24" s="79" t="s">
        <v>46</v>
      </c>
    </row>
    <row r="25" spans="1:7" x14ac:dyDescent="0.2">
      <c r="A25" s="88" t="s">
        <v>15</v>
      </c>
      <c r="B25" s="75">
        <v>150</v>
      </c>
      <c r="C25" s="75">
        <v>200</v>
      </c>
      <c r="D25" s="87"/>
      <c r="E25" s="88" t="s">
        <v>15</v>
      </c>
      <c r="F25" s="75">
        <v>200</v>
      </c>
      <c r="G25" s="75">
        <v>260</v>
      </c>
    </row>
    <row r="26" spans="1:7" x14ac:dyDescent="0.2">
      <c r="A26" s="91" t="s">
        <v>16</v>
      </c>
      <c r="B26" s="75">
        <v>260</v>
      </c>
      <c r="C26" s="75">
        <v>320</v>
      </c>
      <c r="D26" s="87"/>
      <c r="E26" s="91" t="s">
        <v>16</v>
      </c>
      <c r="F26" s="75">
        <v>320</v>
      </c>
      <c r="G26" s="75">
        <v>400</v>
      </c>
    </row>
    <row r="27" spans="1:7" x14ac:dyDescent="0.2">
      <c r="A27" s="91" t="s">
        <v>17</v>
      </c>
      <c r="B27" s="75">
        <v>400</v>
      </c>
      <c r="C27" s="75">
        <v>480</v>
      </c>
      <c r="D27" s="87"/>
      <c r="E27" s="91" t="s">
        <v>17</v>
      </c>
      <c r="F27" s="75">
        <v>440</v>
      </c>
      <c r="G27" s="75">
        <v>500</v>
      </c>
    </row>
    <row r="28" spans="1:7" x14ac:dyDescent="0.2">
      <c r="A28" s="91" t="s">
        <v>36</v>
      </c>
      <c r="B28" s="75">
        <v>500</v>
      </c>
      <c r="C28" s="75">
        <v>650</v>
      </c>
      <c r="D28" s="87"/>
      <c r="E28" s="91" t="s">
        <v>36</v>
      </c>
      <c r="F28" s="75">
        <v>550</v>
      </c>
      <c r="G28" s="75">
        <v>600</v>
      </c>
    </row>
    <row r="29" spans="1:7" x14ac:dyDescent="0.2">
      <c r="A29" s="92"/>
      <c r="B29" s="80"/>
      <c r="C29" s="80"/>
      <c r="D29" s="87"/>
      <c r="E29" s="93"/>
      <c r="F29" s="78"/>
      <c r="G29" s="78"/>
    </row>
    <row r="30" spans="1:7" x14ac:dyDescent="0.2">
      <c r="A30" s="110" t="s">
        <v>18</v>
      </c>
      <c r="B30" s="79"/>
      <c r="C30" s="79"/>
      <c r="D30" s="87"/>
      <c r="E30" s="115" t="s">
        <v>18</v>
      </c>
      <c r="F30" s="115"/>
      <c r="G30" s="115"/>
    </row>
    <row r="31" spans="1:7" x14ac:dyDescent="0.2">
      <c r="A31" s="91"/>
      <c r="B31" s="79" t="s">
        <v>8</v>
      </c>
      <c r="C31" s="79" t="s">
        <v>47</v>
      </c>
      <c r="D31" s="87"/>
      <c r="E31" s="91"/>
      <c r="F31" s="79" t="s">
        <v>8</v>
      </c>
      <c r="G31" s="79" t="s">
        <v>46</v>
      </c>
    </row>
    <row r="32" spans="1:7" x14ac:dyDescent="0.2">
      <c r="A32" s="91" t="s">
        <v>48</v>
      </c>
      <c r="B32" s="75">
        <v>340</v>
      </c>
      <c r="C32" s="75" t="s">
        <v>20</v>
      </c>
      <c r="D32" s="94"/>
      <c r="E32" s="91" t="s">
        <v>48</v>
      </c>
      <c r="F32" s="81">
        <v>470</v>
      </c>
      <c r="G32" s="82" t="s">
        <v>20</v>
      </c>
    </row>
    <row r="33" spans="1:7" x14ac:dyDescent="0.2">
      <c r="A33" s="91" t="s">
        <v>15</v>
      </c>
      <c r="B33" s="75">
        <v>475</v>
      </c>
      <c r="C33" s="75">
        <v>840</v>
      </c>
      <c r="D33" s="87"/>
      <c r="E33" s="91" t="s">
        <v>15</v>
      </c>
      <c r="F33" s="81">
        <v>550</v>
      </c>
      <c r="G33" s="81">
        <v>1000</v>
      </c>
    </row>
    <row r="34" spans="1:7" x14ac:dyDescent="0.2">
      <c r="A34" s="91" t="s">
        <v>0</v>
      </c>
      <c r="B34" s="75">
        <v>670</v>
      </c>
      <c r="C34" s="75">
        <v>1000</v>
      </c>
      <c r="D34" s="87"/>
      <c r="E34" s="91" t="s">
        <v>0</v>
      </c>
      <c r="F34" s="81">
        <v>550</v>
      </c>
      <c r="G34" s="81">
        <v>1350</v>
      </c>
    </row>
    <row r="35" spans="1:7" x14ac:dyDescent="0.2">
      <c r="E35" s="95"/>
      <c r="F35" s="83"/>
      <c r="G35" s="83"/>
    </row>
    <row r="36" spans="1:7" x14ac:dyDescent="0.2">
      <c r="E36" s="95"/>
      <c r="F36" s="83"/>
      <c r="G36" s="83"/>
    </row>
    <row r="37" spans="1:7" x14ac:dyDescent="0.2">
      <c r="B37" s="112" t="s">
        <v>19</v>
      </c>
      <c r="C37" s="113"/>
      <c r="D37" s="113"/>
      <c r="E37" s="114"/>
      <c r="F37" s="84">
        <v>400</v>
      </c>
      <c r="G37" s="83"/>
    </row>
    <row r="38" spans="1:7" x14ac:dyDescent="0.2">
      <c r="B38" s="69"/>
      <c r="C38" s="69"/>
      <c r="D38" s="69"/>
      <c r="E38" s="69"/>
      <c r="F38" s="96"/>
      <c r="G38" s="83"/>
    </row>
    <row r="39" spans="1:7" x14ac:dyDescent="0.2">
      <c r="A39" s="71"/>
      <c r="B39" s="97"/>
    </row>
    <row r="40" spans="1:7" x14ac:dyDescent="0.2">
      <c r="A40" s="71"/>
      <c r="B40" s="97"/>
    </row>
    <row r="41" spans="1:7" x14ac:dyDescent="0.2">
      <c r="A41" s="71"/>
      <c r="B41" s="97"/>
    </row>
  </sheetData>
  <mergeCells count="9">
    <mergeCell ref="A2:C3"/>
    <mergeCell ref="E2:G3"/>
    <mergeCell ref="A15:G15"/>
    <mergeCell ref="B37:E37"/>
    <mergeCell ref="E30:G30"/>
    <mergeCell ref="A16:C16"/>
    <mergeCell ref="E16:G16"/>
    <mergeCell ref="B17:C17"/>
    <mergeCell ref="E23:G23"/>
  </mergeCells>
  <phoneticPr fontId="0" type="noConversion"/>
  <pageMargins left="0.78740157480314965" right="0.78740157480314965" top="0.59055118110236227" bottom="0.59055118110236227" header="0.70866141732283472" footer="0.31496062992125984"/>
  <pageSetup paperSize="9" scale="7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2"/>
  <sheetViews>
    <sheetView tabSelected="1" workbookViewId="0">
      <selection activeCell="E7" sqref="E7"/>
    </sheetView>
  </sheetViews>
  <sheetFormatPr defaultRowHeight="12.75" x14ac:dyDescent="0.2"/>
  <cols>
    <col min="1" max="1" width="23" customWidth="1"/>
    <col min="2" max="2" width="26.140625" customWidth="1"/>
    <col min="3" max="3" width="21.140625" customWidth="1"/>
    <col min="4" max="4" width="9.85546875" bestFit="1" customWidth="1"/>
    <col min="5" max="5" width="23.5703125" customWidth="1"/>
    <col min="6" max="6" width="5.5703125" style="104" customWidth="1"/>
    <col min="7" max="7" width="9.140625" style="104"/>
    <col min="8" max="8" width="13.5703125" customWidth="1"/>
  </cols>
  <sheetData>
    <row r="1" spans="1:8" ht="12" customHeight="1" thickBot="1" x14ac:dyDescent="0.25">
      <c r="A1" s="6"/>
      <c r="B1" s="4"/>
      <c r="C1" s="2"/>
      <c r="D1" s="104"/>
      <c r="E1" s="104"/>
    </row>
    <row r="2" spans="1:8" ht="25.15" customHeight="1" x14ac:dyDescent="0.4">
      <c r="A2" s="132" t="s">
        <v>33</v>
      </c>
      <c r="B2" s="133"/>
      <c r="C2" s="134"/>
      <c r="D2" s="104"/>
      <c r="E2" s="104"/>
    </row>
    <row r="3" spans="1:8" ht="12" customHeight="1" thickBot="1" x14ac:dyDescent="0.45">
      <c r="A3" s="57"/>
      <c r="B3" s="58"/>
      <c r="C3" s="106"/>
      <c r="D3" s="104"/>
      <c r="E3" s="104"/>
    </row>
    <row r="4" spans="1:8" ht="12" customHeight="1" x14ac:dyDescent="0.2">
      <c r="A4" s="3" t="s">
        <v>4</v>
      </c>
      <c r="B4" s="3" t="s">
        <v>5</v>
      </c>
      <c r="C4" s="105" t="s">
        <v>34</v>
      </c>
      <c r="D4" s="104"/>
      <c r="E4" s="104"/>
    </row>
    <row r="5" spans="1:8" ht="12" customHeight="1" x14ac:dyDescent="0.2">
      <c r="A5" s="1"/>
      <c r="B5" s="1"/>
      <c r="C5" s="14"/>
      <c r="D5" s="9"/>
      <c r="E5" s="9"/>
    </row>
    <row r="6" spans="1:8" x14ac:dyDescent="0.2">
      <c r="A6" s="1">
        <v>150</v>
      </c>
      <c r="B6" s="15">
        <v>2130</v>
      </c>
      <c r="C6" s="16">
        <v>350</v>
      </c>
      <c r="D6" s="56"/>
      <c r="E6" s="17"/>
      <c r="H6" s="29"/>
    </row>
    <row r="7" spans="1:8" x14ac:dyDescent="0.2">
      <c r="A7" s="1">
        <v>200</v>
      </c>
      <c r="B7" s="15">
        <v>2300</v>
      </c>
      <c r="C7" s="15">
        <v>350</v>
      </c>
      <c r="D7" s="56"/>
      <c r="E7" s="30"/>
      <c r="H7" s="29"/>
    </row>
    <row r="8" spans="1:8" x14ac:dyDescent="0.2">
      <c r="A8" s="1">
        <v>250</v>
      </c>
      <c r="B8" s="15">
        <v>2400</v>
      </c>
      <c r="C8" s="15">
        <v>400</v>
      </c>
      <c r="D8" s="56"/>
      <c r="E8" s="30"/>
      <c r="H8" s="29"/>
    </row>
    <row r="9" spans="1:8" x14ac:dyDescent="0.2">
      <c r="A9" s="1">
        <v>300</v>
      </c>
      <c r="B9" s="15">
        <v>2800</v>
      </c>
      <c r="C9" s="15">
        <v>400</v>
      </c>
      <c r="D9" s="56"/>
      <c r="E9" s="30"/>
      <c r="H9" s="29"/>
    </row>
    <row r="10" spans="1:8" x14ac:dyDescent="0.2">
      <c r="A10" s="1">
        <v>400</v>
      </c>
      <c r="B10" s="15">
        <v>3600</v>
      </c>
      <c r="C10" s="15">
        <v>450</v>
      </c>
      <c r="D10" s="56"/>
      <c r="E10" s="30"/>
      <c r="H10" s="29"/>
    </row>
    <row r="11" spans="1:8" x14ac:dyDescent="0.2">
      <c r="A11" s="1">
        <v>500</v>
      </c>
      <c r="B11" s="15">
        <v>4000</v>
      </c>
      <c r="C11" s="15">
        <v>550</v>
      </c>
      <c r="D11" s="56"/>
      <c r="E11" s="30"/>
      <c r="H11" s="29"/>
    </row>
    <row r="12" spans="1:8" x14ac:dyDescent="0.2">
      <c r="A12" s="1">
        <v>600</v>
      </c>
      <c r="B12" s="15">
        <v>4500</v>
      </c>
      <c r="C12" s="15">
        <v>600</v>
      </c>
      <c r="D12" s="56"/>
      <c r="E12" s="30"/>
      <c r="H12" s="29"/>
    </row>
    <row r="13" spans="1:8" x14ac:dyDescent="0.2">
      <c r="A13" s="1">
        <v>800</v>
      </c>
      <c r="B13" s="15">
        <v>5300</v>
      </c>
      <c r="C13" s="15">
        <v>750</v>
      </c>
      <c r="D13" s="56"/>
      <c r="E13" s="30"/>
      <c r="H13" s="29"/>
    </row>
    <row r="14" spans="1:8" x14ac:dyDescent="0.2">
      <c r="A14" s="1">
        <v>1000</v>
      </c>
      <c r="B14" s="15">
        <v>6700</v>
      </c>
      <c r="C14" s="15">
        <v>850</v>
      </c>
      <c r="D14" s="56"/>
      <c r="E14" s="30"/>
      <c r="H14" s="29"/>
    </row>
    <row r="15" spans="1:8" x14ac:dyDescent="0.2">
      <c r="A15" s="1">
        <v>1200</v>
      </c>
      <c r="B15" s="15">
        <v>8000</v>
      </c>
      <c r="C15" s="15">
        <v>880</v>
      </c>
      <c r="D15" s="56"/>
      <c r="E15" s="30"/>
      <c r="H15" s="29"/>
    </row>
    <row r="16" spans="1:8" x14ac:dyDescent="0.2">
      <c r="A16" s="9"/>
      <c r="B16" s="30"/>
      <c r="C16" s="30"/>
      <c r="E16" s="30"/>
      <c r="H16" s="29"/>
    </row>
    <row r="17" spans="1:8" x14ac:dyDescent="0.2">
      <c r="A17" s="9"/>
      <c r="B17" s="30"/>
      <c r="C17" s="30"/>
      <c r="E17" s="30"/>
      <c r="H17" s="29"/>
    </row>
    <row r="18" spans="1:8" ht="12.75" customHeight="1" x14ac:dyDescent="0.2">
      <c r="A18" s="131" t="s">
        <v>45</v>
      </c>
      <c r="B18" s="131"/>
      <c r="C18" s="131"/>
      <c r="D18" s="131"/>
      <c r="E18" s="131"/>
    </row>
    <row r="19" spans="1:8" x14ac:dyDescent="0.2">
      <c r="A19" s="101" t="s">
        <v>7</v>
      </c>
      <c r="B19" s="102"/>
      <c r="C19" s="27"/>
      <c r="D19" s="44"/>
      <c r="E19" s="98"/>
    </row>
    <row r="20" spans="1:8" x14ac:dyDescent="0.2">
      <c r="A20" s="23" t="s">
        <v>9</v>
      </c>
      <c r="B20" s="102" t="s">
        <v>6</v>
      </c>
      <c r="C20" s="103"/>
      <c r="D20" s="135"/>
      <c r="E20" s="135"/>
    </row>
    <row r="21" spans="1:8" x14ac:dyDescent="0.2">
      <c r="A21" s="23" t="s">
        <v>23</v>
      </c>
      <c r="B21" s="37">
        <v>80</v>
      </c>
      <c r="C21" s="37">
        <v>80</v>
      </c>
      <c r="D21" s="26"/>
      <c r="E21" s="100"/>
    </row>
    <row r="22" spans="1:8" x14ac:dyDescent="0.2">
      <c r="A22" s="23" t="s">
        <v>25</v>
      </c>
      <c r="B22" s="37">
        <v>90</v>
      </c>
      <c r="C22" s="37">
        <v>90</v>
      </c>
      <c r="D22" s="26"/>
      <c r="E22" s="100"/>
    </row>
    <row r="23" spans="1:8" x14ac:dyDescent="0.2">
      <c r="A23" s="28"/>
      <c r="B23" s="39"/>
      <c r="C23" s="28"/>
      <c r="D23" s="28"/>
      <c r="E23" s="28"/>
    </row>
    <row r="24" spans="1:8" x14ac:dyDescent="0.2">
      <c r="A24" s="31" t="s">
        <v>10</v>
      </c>
      <c r="B24" s="32"/>
      <c r="C24" s="33"/>
      <c r="D24" s="33"/>
      <c r="E24" s="40"/>
    </row>
    <row r="25" spans="1:8" x14ac:dyDescent="0.2">
      <c r="A25" s="41"/>
      <c r="B25" s="136" t="s">
        <v>53</v>
      </c>
      <c r="C25" s="136"/>
      <c r="D25" s="136"/>
      <c r="E25" s="137"/>
    </row>
    <row r="26" spans="1:8" x14ac:dyDescent="0.2">
      <c r="A26" s="22" t="s">
        <v>27</v>
      </c>
      <c r="B26" s="37">
        <v>460</v>
      </c>
      <c r="C26" s="20" t="s">
        <v>28</v>
      </c>
      <c r="D26" s="42"/>
      <c r="E26" s="37">
        <v>660</v>
      </c>
    </row>
    <row r="27" spans="1:8" x14ac:dyDescent="0.2">
      <c r="A27" s="23" t="s">
        <v>29</v>
      </c>
      <c r="B27" s="37">
        <v>520</v>
      </c>
      <c r="C27" s="43" t="s">
        <v>30</v>
      </c>
      <c r="D27" s="38"/>
      <c r="E27" s="37">
        <v>900</v>
      </c>
    </row>
    <row r="28" spans="1:8" x14ac:dyDescent="0.2">
      <c r="A28" s="23" t="s">
        <v>31</v>
      </c>
      <c r="B28" s="37">
        <v>580</v>
      </c>
      <c r="C28" s="43" t="s">
        <v>32</v>
      </c>
      <c r="D28" s="38"/>
      <c r="E28" s="37">
        <v>1300</v>
      </c>
    </row>
    <row r="29" spans="1:8" x14ac:dyDescent="0.2">
      <c r="A29" s="28"/>
      <c r="B29" s="39"/>
      <c r="C29" s="28"/>
      <c r="D29" s="28"/>
      <c r="E29" s="44"/>
    </row>
    <row r="30" spans="1:8" x14ac:dyDescent="0.2">
      <c r="A30" s="31" t="s">
        <v>35</v>
      </c>
      <c r="B30" s="32"/>
      <c r="C30" s="33"/>
      <c r="D30" s="33"/>
      <c r="E30" s="40"/>
    </row>
    <row r="31" spans="1:8" x14ac:dyDescent="0.2">
      <c r="A31" s="41"/>
      <c r="B31" s="136" t="s">
        <v>53</v>
      </c>
      <c r="C31" s="136"/>
      <c r="D31" s="136"/>
      <c r="E31" s="137"/>
    </row>
    <row r="32" spans="1:8" x14ac:dyDescent="0.2">
      <c r="A32" s="22" t="s">
        <v>15</v>
      </c>
      <c r="B32" s="37">
        <v>220</v>
      </c>
      <c r="C32" s="45" t="s">
        <v>36</v>
      </c>
      <c r="D32" s="42"/>
      <c r="E32" s="37">
        <v>550</v>
      </c>
    </row>
    <row r="33" spans="1:5" x14ac:dyDescent="0.2">
      <c r="A33" s="23" t="s">
        <v>16</v>
      </c>
      <c r="B33" s="37">
        <v>300</v>
      </c>
      <c r="C33" s="43" t="s">
        <v>37</v>
      </c>
      <c r="D33" s="38"/>
      <c r="E33" s="37">
        <v>600</v>
      </c>
    </row>
    <row r="34" spans="1:5" x14ac:dyDescent="0.2">
      <c r="A34" s="23" t="s">
        <v>17</v>
      </c>
      <c r="B34" s="37">
        <v>400</v>
      </c>
      <c r="C34" s="43" t="s">
        <v>39</v>
      </c>
      <c r="D34" s="38"/>
      <c r="E34" s="37">
        <v>700</v>
      </c>
    </row>
    <row r="35" spans="1:5" x14ac:dyDescent="0.2">
      <c r="A35" s="28"/>
      <c r="B35" s="39"/>
      <c r="C35" s="28"/>
      <c r="D35" s="28"/>
      <c r="E35" s="28"/>
    </row>
    <row r="36" spans="1:5" x14ac:dyDescent="0.2">
      <c r="A36" s="31" t="s">
        <v>18</v>
      </c>
      <c r="B36" s="32"/>
      <c r="C36" s="33"/>
      <c r="D36" s="33"/>
      <c r="E36" s="40"/>
    </row>
    <row r="37" spans="1:5" x14ac:dyDescent="0.2">
      <c r="A37" s="27"/>
      <c r="B37" s="24" t="s">
        <v>42</v>
      </c>
      <c r="C37" s="19" t="s">
        <v>43</v>
      </c>
      <c r="D37" s="138" t="s">
        <v>54</v>
      </c>
      <c r="E37" s="139"/>
    </row>
    <row r="38" spans="1:5" x14ac:dyDescent="0.2">
      <c r="A38" s="23"/>
      <c r="B38" s="46">
        <v>700</v>
      </c>
      <c r="C38" s="46">
        <v>1200</v>
      </c>
      <c r="D38" s="140">
        <v>1500</v>
      </c>
      <c r="E38" s="141"/>
    </row>
    <row r="39" spans="1:5" x14ac:dyDescent="0.2">
      <c r="A39" s="25"/>
      <c r="B39" s="47"/>
      <c r="C39" s="47"/>
      <c r="D39" s="47"/>
      <c r="E39" s="48"/>
    </row>
    <row r="40" spans="1:5" x14ac:dyDescent="0.2">
      <c r="A40" s="49" t="s">
        <v>19</v>
      </c>
      <c r="B40" s="50"/>
      <c r="C40" s="51"/>
      <c r="D40" s="46">
        <v>500</v>
      </c>
      <c r="E40" s="52"/>
    </row>
    <row r="41" spans="1:5" x14ac:dyDescent="0.2">
      <c r="A41" s="53"/>
      <c r="B41" s="47"/>
      <c r="C41" s="47"/>
      <c r="D41" s="54"/>
      <c r="E41" s="47"/>
    </row>
    <row r="42" spans="1:5" x14ac:dyDescent="0.2">
      <c r="A42" s="49" t="s">
        <v>38</v>
      </c>
      <c r="B42" s="55"/>
      <c r="C42" s="52"/>
      <c r="D42" s="46">
        <v>1500</v>
      </c>
      <c r="E42" s="52"/>
    </row>
    <row r="45" spans="1:5" x14ac:dyDescent="0.2">
      <c r="A45" s="6"/>
      <c r="B45" s="5"/>
    </row>
    <row r="46" spans="1:5" x14ac:dyDescent="0.2">
      <c r="A46" s="2"/>
      <c r="B46" s="5"/>
    </row>
    <row r="47" spans="1:5" x14ac:dyDescent="0.2">
      <c r="A47" s="2"/>
      <c r="B47" s="5"/>
    </row>
    <row r="48" spans="1:5" x14ac:dyDescent="0.2">
      <c r="A48" s="2"/>
      <c r="B48" s="10"/>
    </row>
    <row r="49" spans="1:2" x14ac:dyDescent="0.2">
      <c r="A49" s="2"/>
      <c r="B49" s="8"/>
    </row>
    <row r="50" spans="1:2" x14ac:dyDescent="0.2">
      <c r="A50" s="2"/>
      <c r="B50" s="7"/>
    </row>
    <row r="51" spans="1:2" x14ac:dyDescent="0.2">
      <c r="A51" s="2"/>
      <c r="B51" s="7"/>
    </row>
    <row r="52" spans="1:2" x14ac:dyDescent="0.2">
      <c r="A52" s="2"/>
      <c r="B52" s="7"/>
    </row>
  </sheetData>
  <mergeCells count="7">
    <mergeCell ref="D38:E38"/>
    <mergeCell ref="A18:E18"/>
    <mergeCell ref="A2:C2"/>
    <mergeCell ref="D20:E20"/>
    <mergeCell ref="B25:E25"/>
    <mergeCell ref="B31:E31"/>
    <mergeCell ref="D37:E37"/>
  </mergeCells>
  <pageMargins left="0.7" right="0.7" top="0.75" bottom="0.75" header="0.3" footer="0.3"/>
  <pageSetup paperSize="9"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C6" sqref="C6"/>
    </sheetView>
  </sheetViews>
  <sheetFormatPr defaultRowHeight="12.75" x14ac:dyDescent="0.2"/>
  <cols>
    <col min="1" max="1" width="23" customWidth="1"/>
    <col min="2" max="2" width="26.28515625" customWidth="1"/>
    <col min="3" max="3" width="21.140625" customWidth="1"/>
    <col min="4" max="4" width="9.85546875" bestFit="1" customWidth="1"/>
    <col min="5" max="5" width="23" customWidth="1"/>
    <col min="6" max="6" width="5.5703125" style="104" customWidth="1"/>
    <col min="7" max="7" width="9.140625" style="104"/>
    <col min="8" max="8" width="10.85546875" bestFit="1" customWidth="1"/>
    <col min="9" max="9" width="12.28515625" customWidth="1"/>
  </cols>
  <sheetData>
    <row r="1" spans="1:8" ht="12" customHeight="1" thickBot="1" x14ac:dyDescent="0.25">
      <c r="A1" s="6"/>
      <c r="B1" s="4"/>
      <c r="C1" s="2"/>
      <c r="D1" s="2"/>
      <c r="E1" s="2"/>
    </row>
    <row r="2" spans="1:8" ht="12" customHeight="1" x14ac:dyDescent="0.2">
      <c r="A2" s="142" t="s">
        <v>44</v>
      </c>
      <c r="B2" s="143"/>
      <c r="C2" s="143"/>
      <c r="D2" s="143"/>
      <c r="E2" s="144"/>
    </row>
    <row r="3" spans="1:8" ht="12" customHeight="1" thickBot="1" x14ac:dyDescent="0.25">
      <c r="A3" s="145"/>
      <c r="B3" s="146"/>
      <c r="C3" s="146"/>
      <c r="D3" s="146"/>
      <c r="E3" s="147"/>
    </row>
    <row r="4" spans="1:8" ht="12" customHeight="1" x14ac:dyDescent="0.2">
      <c r="A4" s="3" t="s">
        <v>4</v>
      </c>
      <c r="B4" s="3" t="s">
        <v>5</v>
      </c>
      <c r="C4" s="3" t="s">
        <v>34</v>
      </c>
      <c r="D4" s="148"/>
      <c r="E4" s="149"/>
    </row>
    <row r="5" spans="1:8" ht="12" customHeight="1" x14ac:dyDescent="0.2">
      <c r="A5" s="1"/>
      <c r="B5" s="1"/>
      <c r="C5" s="14"/>
      <c r="D5" s="152"/>
      <c r="E5" s="153"/>
    </row>
    <row r="6" spans="1:8" x14ac:dyDescent="0.2">
      <c r="A6" s="1">
        <v>150</v>
      </c>
      <c r="B6" s="18">
        <v>11000</v>
      </c>
      <c r="C6" s="18">
        <v>1400</v>
      </c>
      <c r="D6" s="150"/>
      <c r="E6" s="151"/>
      <c r="H6" s="29"/>
    </row>
    <row r="7" spans="1:8" x14ac:dyDescent="0.2">
      <c r="A7" s="1">
        <v>200</v>
      </c>
      <c r="B7" s="18">
        <v>11000</v>
      </c>
      <c r="C7" s="18">
        <v>1400</v>
      </c>
      <c r="D7" s="150"/>
      <c r="E7" s="151"/>
      <c r="H7" s="29"/>
    </row>
    <row r="8" spans="1:8" x14ac:dyDescent="0.2">
      <c r="A8" s="1">
        <v>250</v>
      </c>
      <c r="B8" s="18">
        <v>11000</v>
      </c>
      <c r="C8" s="18">
        <v>1400</v>
      </c>
      <c r="D8" s="150"/>
      <c r="E8" s="151"/>
      <c r="H8" s="29"/>
    </row>
    <row r="9" spans="1:8" x14ac:dyDescent="0.2">
      <c r="A9" s="1">
        <v>300</v>
      </c>
      <c r="B9" s="18">
        <v>12000</v>
      </c>
      <c r="C9" s="18">
        <v>1500</v>
      </c>
      <c r="D9" s="150"/>
      <c r="E9" s="151"/>
      <c r="H9" s="29"/>
    </row>
    <row r="10" spans="1:8" x14ac:dyDescent="0.2">
      <c r="A10" s="1">
        <v>400</v>
      </c>
      <c r="B10" s="18">
        <v>13000</v>
      </c>
      <c r="C10" s="18">
        <v>1500</v>
      </c>
      <c r="D10" s="150"/>
      <c r="E10" s="151"/>
      <c r="H10" s="29"/>
    </row>
    <row r="11" spans="1:8" x14ac:dyDescent="0.2">
      <c r="A11" s="1">
        <v>500</v>
      </c>
      <c r="B11" s="18">
        <v>13000</v>
      </c>
      <c r="C11" s="18">
        <v>1500</v>
      </c>
      <c r="D11" s="150"/>
      <c r="E11" s="151"/>
      <c r="H11" s="29"/>
    </row>
    <row r="12" spans="1:8" x14ac:dyDescent="0.2">
      <c r="A12" s="1">
        <v>600</v>
      </c>
      <c r="B12" s="18">
        <v>14500</v>
      </c>
      <c r="C12" s="18">
        <v>1500</v>
      </c>
      <c r="D12" s="150"/>
      <c r="E12" s="151"/>
      <c r="H12" s="29"/>
    </row>
    <row r="13" spans="1:8" x14ac:dyDescent="0.2">
      <c r="A13" s="1">
        <v>800</v>
      </c>
      <c r="B13" s="18">
        <v>14500</v>
      </c>
      <c r="C13" s="18">
        <v>2000</v>
      </c>
      <c r="D13" s="150"/>
      <c r="E13" s="151"/>
      <c r="H13" s="29"/>
    </row>
    <row r="14" spans="1:8" x14ac:dyDescent="0.2">
      <c r="A14" s="1">
        <v>1000</v>
      </c>
      <c r="B14" s="18">
        <v>18000</v>
      </c>
      <c r="C14" s="18">
        <v>2000</v>
      </c>
      <c r="D14" s="150"/>
      <c r="E14" s="151"/>
      <c r="H14" s="29"/>
    </row>
    <row r="15" spans="1:8" x14ac:dyDescent="0.2">
      <c r="A15" s="1">
        <v>1200</v>
      </c>
      <c r="B15" s="15">
        <v>19000</v>
      </c>
      <c r="C15" s="18">
        <v>2000</v>
      </c>
      <c r="D15" s="150"/>
      <c r="E15" s="151"/>
      <c r="H15" s="29"/>
    </row>
    <row r="16" spans="1:8" x14ac:dyDescent="0.2">
      <c r="A16" s="2"/>
      <c r="B16" s="4"/>
      <c r="C16" s="2"/>
      <c r="D16" s="2"/>
      <c r="E16" s="2"/>
    </row>
    <row r="17" spans="1:7" x14ac:dyDescent="0.2">
      <c r="A17" s="2"/>
      <c r="B17" s="4"/>
      <c r="C17" s="2"/>
      <c r="D17" s="2"/>
      <c r="E17" s="2"/>
    </row>
    <row r="18" spans="1:7" ht="12.75" customHeight="1" x14ac:dyDescent="0.2">
      <c r="A18" s="154" t="s">
        <v>45</v>
      </c>
      <c r="B18" s="154"/>
      <c r="C18" s="154"/>
      <c r="D18" s="154"/>
      <c r="E18" s="154"/>
      <c r="F18" s="107"/>
      <c r="G18" s="107"/>
    </row>
    <row r="19" spans="1:7" x14ac:dyDescent="0.2">
      <c r="A19" s="31" t="s">
        <v>7</v>
      </c>
      <c r="B19" s="32"/>
      <c r="C19" s="33"/>
      <c r="D19" s="33"/>
      <c r="E19" s="34"/>
    </row>
    <row r="20" spans="1:7" x14ac:dyDescent="0.2">
      <c r="A20" s="22" t="s">
        <v>9</v>
      </c>
      <c r="B20" s="35" t="s">
        <v>6</v>
      </c>
      <c r="C20" s="36"/>
      <c r="D20" s="155"/>
      <c r="E20" s="156"/>
    </row>
    <row r="21" spans="1:7" x14ac:dyDescent="0.2">
      <c r="A21" s="23" t="s">
        <v>23</v>
      </c>
      <c r="B21" s="59">
        <v>300</v>
      </c>
      <c r="C21" s="60" t="s">
        <v>24</v>
      </c>
      <c r="D21" s="61"/>
      <c r="E21" s="59">
        <v>300</v>
      </c>
    </row>
    <row r="22" spans="1:7" x14ac:dyDescent="0.2">
      <c r="A22" s="23" t="s">
        <v>25</v>
      </c>
      <c r="B22" s="59">
        <v>3000</v>
      </c>
      <c r="C22" s="60" t="s">
        <v>26</v>
      </c>
      <c r="D22" s="62"/>
      <c r="E22" s="59">
        <v>3000</v>
      </c>
    </row>
    <row r="23" spans="1:7" x14ac:dyDescent="0.2">
      <c r="A23" s="28"/>
      <c r="B23" s="39"/>
      <c r="C23" s="28"/>
      <c r="D23" s="28"/>
      <c r="E23" s="28"/>
    </row>
    <row r="24" spans="1:7" x14ac:dyDescent="0.2">
      <c r="A24" s="31" t="s">
        <v>10</v>
      </c>
      <c r="B24" s="32"/>
      <c r="C24" s="33"/>
      <c r="D24" s="33"/>
      <c r="E24" s="40"/>
    </row>
    <row r="25" spans="1:7" x14ac:dyDescent="0.2">
      <c r="A25" s="41"/>
      <c r="B25" s="136" t="s">
        <v>53</v>
      </c>
      <c r="C25" s="136"/>
      <c r="D25" s="136"/>
      <c r="E25" s="137"/>
    </row>
    <row r="26" spans="1:7" x14ac:dyDescent="0.2">
      <c r="A26" s="22" t="s">
        <v>27</v>
      </c>
      <c r="B26" s="59">
        <v>1500</v>
      </c>
      <c r="C26" s="20" t="s">
        <v>28</v>
      </c>
      <c r="D26" s="42"/>
      <c r="E26" s="59">
        <v>1500</v>
      </c>
    </row>
    <row r="27" spans="1:7" x14ac:dyDescent="0.2">
      <c r="A27" s="23" t="s">
        <v>29</v>
      </c>
      <c r="B27" s="59">
        <v>1500</v>
      </c>
      <c r="C27" s="43" t="s">
        <v>30</v>
      </c>
      <c r="D27" s="38"/>
      <c r="E27" s="59">
        <v>1500</v>
      </c>
    </row>
    <row r="28" spans="1:7" x14ac:dyDescent="0.2">
      <c r="A28" s="23" t="s">
        <v>31</v>
      </c>
      <c r="B28" s="59">
        <v>1500</v>
      </c>
      <c r="C28" s="43" t="s">
        <v>32</v>
      </c>
      <c r="D28" s="38"/>
      <c r="E28" s="59">
        <v>2000</v>
      </c>
    </row>
    <row r="29" spans="1:7" x14ac:dyDescent="0.2">
      <c r="A29" s="28"/>
      <c r="B29" s="39"/>
      <c r="C29" s="28"/>
      <c r="D29" s="28"/>
      <c r="E29" s="44"/>
    </row>
    <row r="30" spans="1:7" x14ac:dyDescent="0.2">
      <c r="A30" s="31" t="s">
        <v>35</v>
      </c>
      <c r="B30" s="32"/>
      <c r="C30" s="33"/>
      <c r="D30" s="33"/>
      <c r="E30" s="40"/>
    </row>
    <row r="31" spans="1:7" x14ac:dyDescent="0.2">
      <c r="A31" s="41"/>
      <c r="B31" s="136" t="s">
        <v>53</v>
      </c>
      <c r="C31" s="136"/>
      <c r="D31" s="136"/>
      <c r="E31" s="137"/>
    </row>
    <row r="32" spans="1:7" x14ac:dyDescent="0.2">
      <c r="A32" s="22" t="s">
        <v>15</v>
      </c>
      <c r="B32" s="59">
        <v>500</v>
      </c>
      <c r="C32" s="45" t="s">
        <v>36</v>
      </c>
      <c r="D32" s="42"/>
      <c r="E32" s="59">
        <v>800</v>
      </c>
    </row>
    <row r="33" spans="1:5" x14ac:dyDescent="0.2">
      <c r="A33" s="23" t="s">
        <v>16</v>
      </c>
      <c r="B33" s="59">
        <v>500</v>
      </c>
      <c r="C33" s="43" t="s">
        <v>37</v>
      </c>
      <c r="D33" s="38"/>
      <c r="E33" s="59">
        <v>800</v>
      </c>
    </row>
    <row r="34" spans="1:5" x14ac:dyDescent="0.2">
      <c r="A34" s="23" t="s">
        <v>17</v>
      </c>
      <c r="B34" s="59">
        <v>500</v>
      </c>
      <c r="C34" s="43" t="s">
        <v>39</v>
      </c>
      <c r="D34" s="38"/>
      <c r="E34" s="59">
        <v>800</v>
      </c>
    </row>
    <row r="35" spans="1:5" x14ac:dyDescent="0.2">
      <c r="A35" s="28"/>
      <c r="B35" s="39"/>
      <c r="C35" s="28"/>
      <c r="D35" s="28"/>
      <c r="E35" s="28"/>
    </row>
    <row r="36" spans="1:5" x14ac:dyDescent="0.2">
      <c r="A36" s="31" t="s">
        <v>18</v>
      </c>
      <c r="B36" s="32"/>
      <c r="C36" s="33"/>
      <c r="D36" s="33"/>
      <c r="E36" s="40"/>
    </row>
    <row r="37" spans="1:5" x14ac:dyDescent="0.2">
      <c r="A37" s="27"/>
      <c r="B37" s="24" t="s">
        <v>42</v>
      </c>
      <c r="C37" s="19" t="s">
        <v>43</v>
      </c>
      <c r="D37" s="138" t="s">
        <v>54</v>
      </c>
      <c r="E37" s="139"/>
    </row>
    <row r="38" spans="1:5" x14ac:dyDescent="0.2">
      <c r="A38" s="23"/>
      <c r="B38" s="59">
        <v>1800</v>
      </c>
      <c r="C38" s="59">
        <v>2000</v>
      </c>
      <c r="D38" s="63"/>
      <c r="E38" s="59">
        <v>3500</v>
      </c>
    </row>
    <row r="39" spans="1:5" x14ac:dyDescent="0.2">
      <c r="A39" s="25"/>
      <c r="B39" s="26"/>
      <c r="C39" s="26"/>
      <c r="D39" s="26"/>
      <c r="E39" s="44"/>
    </row>
    <row r="40" spans="1:5" x14ac:dyDescent="0.2">
      <c r="A40" s="49" t="s">
        <v>19</v>
      </c>
      <c r="B40" s="38"/>
      <c r="C40" s="64"/>
      <c r="D40" s="59">
        <v>500</v>
      </c>
      <c r="E40" s="65"/>
    </row>
    <row r="41" spans="1:5" x14ac:dyDescent="0.2">
      <c r="A41" s="53"/>
      <c r="B41" s="26"/>
      <c r="C41" s="26"/>
      <c r="D41" s="66"/>
      <c r="E41" s="26"/>
    </row>
    <row r="42" spans="1:5" x14ac:dyDescent="0.2">
      <c r="A42" s="49" t="s">
        <v>38</v>
      </c>
      <c r="B42" s="32"/>
      <c r="C42" s="65"/>
      <c r="D42" s="59">
        <v>2000</v>
      </c>
      <c r="E42" s="65"/>
    </row>
  </sheetData>
  <mergeCells count="18">
    <mergeCell ref="A18:E18"/>
    <mergeCell ref="B31:E31"/>
    <mergeCell ref="D37:E37"/>
    <mergeCell ref="D13:E13"/>
    <mergeCell ref="D14:E14"/>
    <mergeCell ref="D20:E20"/>
    <mergeCell ref="B25:E25"/>
    <mergeCell ref="D15:E15"/>
    <mergeCell ref="A2:E3"/>
    <mergeCell ref="D4:E4"/>
    <mergeCell ref="D9:E9"/>
    <mergeCell ref="D10:E10"/>
    <mergeCell ref="D11:E11"/>
    <mergeCell ref="D12:E12"/>
    <mergeCell ref="D5:E5"/>
    <mergeCell ref="D6:E6"/>
    <mergeCell ref="D7:E7"/>
    <mergeCell ref="D8:E8"/>
  </mergeCells>
  <phoneticPr fontId="6" type="noConversion"/>
  <pageMargins left="0.75" right="0.75" top="1" bottom="1" header="0.5" footer="0.5"/>
  <pageSetup paperSize="9" scale="8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workbookViewId="0">
      <selection activeCell="C21" sqref="C21"/>
    </sheetView>
  </sheetViews>
  <sheetFormatPr defaultRowHeight="12.75" x14ac:dyDescent="0.2"/>
  <cols>
    <col min="1" max="1" width="23" customWidth="1"/>
    <col min="2" max="2" width="26.28515625" customWidth="1"/>
    <col min="3" max="3" width="21.140625" customWidth="1"/>
    <col min="4" max="4" width="10.140625" bestFit="1" customWidth="1"/>
    <col min="5" max="5" width="23" customWidth="1"/>
    <col min="6" max="6" width="5.5703125" style="104" customWidth="1"/>
    <col min="7" max="7" width="9.140625" style="104"/>
    <col min="8" max="8" width="10.85546875" bestFit="1" customWidth="1"/>
    <col min="9" max="9" width="12.28515625" customWidth="1"/>
  </cols>
  <sheetData>
    <row r="1" spans="1:8" ht="12" customHeight="1" thickBot="1" x14ac:dyDescent="0.25">
      <c r="A1" s="6"/>
      <c r="B1" s="4"/>
      <c r="C1" s="2"/>
      <c r="D1" s="2"/>
      <c r="E1" s="2"/>
    </row>
    <row r="2" spans="1:8" ht="12" customHeight="1" x14ac:dyDescent="0.2">
      <c r="A2" s="142" t="s">
        <v>50</v>
      </c>
      <c r="B2" s="143"/>
      <c r="C2" s="143"/>
      <c r="D2" s="143"/>
      <c r="E2" s="144"/>
    </row>
    <row r="3" spans="1:8" ht="12" customHeight="1" thickBot="1" x14ac:dyDescent="0.25">
      <c r="A3" s="145"/>
      <c r="B3" s="146"/>
      <c r="C3" s="146"/>
      <c r="D3" s="146"/>
      <c r="E3" s="147"/>
    </row>
    <row r="4" spans="1:8" ht="12" customHeight="1" x14ac:dyDescent="0.2">
      <c r="A4" s="3" t="s">
        <v>4</v>
      </c>
      <c r="B4" s="3" t="s">
        <v>5</v>
      </c>
      <c r="C4" s="3" t="s">
        <v>34</v>
      </c>
      <c r="D4" s="148"/>
      <c r="E4" s="149"/>
    </row>
    <row r="5" spans="1:8" ht="12" customHeight="1" x14ac:dyDescent="0.2">
      <c r="A5" s="1"/>
      <c r="B5" s="1"/>
      <c r="C5" s="14"/>
      <c r="D5" s="152"/>
      <c r="E5" s="153"/>
    </row>
    <row r="6" spans="1:8" x14ac:dyDescent="0.2">
      <c r="A6" s="1">
        <v>150</v>
      </c>
      <c r="B6" s="18">
        <v>16500</v>
      </c>
      <c r="C6" s="18">
        <v>2100</v>
      </c>
      <c r="D6" s="150"/>
      <c r="E6" s="151"/>
      <c r="H6" s="29"/>
    </row>
    <row r="7" spans="1:8" x14ac:dyDescent="0.2">
      <c r="A7" s="1">
        <v>200</v>
      </c>
      <c r="B7" s="18">
        <v>16500</v>
      </c>
      <c r="C7" s="18">
        <v>2100</v>
      </c>
      <c r="D7" s="150"/>
      <c r="E7" s="151"/>
      <c r="H7" s="29"/>
    </row>
    <row r="8" spans="1:8" x14ac:dyDescent="0.2">
      <c r="A8" s="1">
        <v>250</v>
      </c>
      <c r="B8" s="18">
        <v>16500</v>
      </c>
      <c r="C8" s="18">
        <v>2100</v>
      </c>
      <c r="D8" s="150"/>
      <c r="E8" s="151"/>
      <c r="H8" s="29"/>
    </row>
    <row r="9" spans="1:8" x14ac:dyDescent="0.2">
      <c r="A9" s="1">
        <v>300</v>
      </c>
      <c r="B9" s="18">
        <v>18000</v>
      </c>
      <c r="C9" s="18">
        <v>2250</v>
      </c>
      <c r="D9" s="150"/>
      <c r="E9" s="151"/>
      <c r="H9" s="29"/>
    </row>
    <row r="10" spans="1:8" x14ac:dyDescent="0.2">
      <c r="A10" s="1">
        <v>400</v>
      </c>
      <c r="B10" s="18">
        <v>19500</v>
      </c>
      <c r="C10" s="18">
        <v>2250</v>
      </c>
      <c r="D10" s="150"/>
      <c r="E10" s="151"/>
      <c r="H10" s="29"/>
    </row>
    <row r="11" spans="1:8" x14ac:dyDescent="0.2">
      <c r="A11" s="1">
        <v>500</v>
      </c>
      <c r="B11" s="18">
        <v>19500</v>
      </c>
      <c r="C11" s="18">
        <v>2250</v>
      </c>
      <c r="D11" s="150"/>
      <c r="E11" s="151"/>
      <c r="H11" s="29"/>
    </row>
    <row r="12" spans="1:8" x14ac:dyDescent="0.2">
      <c r="A12" s="1">
        <v>600</v>
      </c>
      <c r="B12" s="18">
        <v>21750</v>
      </c>
      <c r="C12" s="18">
        <v>2250</v>
      </c>
      <c r="D12" s="150"/>
      <c r="E12" s="151"/>
      <c r="H12" s="29"/>
    </row>
    <row r="13" spans="1:8" x14ac:dyDescent="0.2">
      <c r="A13" s="1">
        <v>800</v>
      </c>
      <c r="B13" s="18">
        <v>21750</v>
      </c>
      <c r="C13" s="18">
        <v>3000</v>
      </c>
      <c r="D13" s="150"/>
      <c r="E13" s="151"/>
      <c r="H13" s="29"/>
    </row>
    <row r="14" spans="1:8" x14ac:dyDescent="0.2">
      <c r="A14" s="1">
        <v>1000</v>
      </c>
      <c r="B14" s="18">
        <v>27000</v>
      </c>
      <c r="C14" s="18">
        <v>3000</v>
      </c>
      <c r="D14" s="150"/>
      <c r="E14" s="151"/>
      <c r="H14" s="29"/>
    </row>
    <row r="15" spans="1:8" x14ac:dyDescent="0.2">
      <c r="A15" s="1">
        <v>1200</v>
      </c>
      <c r="B15" s="18">
        <v>28500</v>
      </c>
      <c r="C15" s="18">
        <v>3000</v>
      </c>
      <c r="D15" s="158"/>
      <c r="E15" s="158"/>
      <c r="H15" s="29"/>
    </row>
    <row r="16" spans="1:8" x14ac:dyDescent="0.2">
      <c r="A16" s="1">
        <v>1400</v>
      </c>
      <c r="B16" s="18">
        <f>B15*1.1</f>
        <v>31350.000000000004</v>
      </c>
      <c r="C16" s="18">
        <f>C15*1.1</f>
        <v>3300.0000000000005</v>
      </c>
      <c r="D16" s="18"/>
      <c r="E16" s="18"/>
      <c r="H16" s="29"/>
    </row>
    <row r="17" spans="1:8" x14ac:dyDescent="0.2">
      <c r="A17" s="1">
        <v>1500</v>
      </c>
      <c r="B17" s="18">
        <f>_xlfn.CEILING.MATH(B16*1.1,50,1)</f>
        <v>34500</v>
      </c>
      <c r="C17" s="18">
        <f>_xlfn.CEILING.MATH(C16*1.1,50,1)</f>
        <v>3650</v>
      </c>
      <c r="D17" s="18"/>
      <c r="E17" s="18"/>
      <c r="H17" s="29"/>
    </row>
    <row r="18" spans="1:8" x14ac:dyDescent="0.2">
      <c r="A18" s="1">
        <v>1600</v>
      </c>
      <c r="B18" s="18">
        <f t="shared" ref="B18:B21" si="0">_xlfn.CEILING.MATH(B17*1.1,50,1)</f>
        <v>37950</v>
      </c>
      <c r="C18" s="18">
        <f t="shared" ref="C18:C21" si="1">_xlfn.CEILING.MATH(C17*1.1,50,1)</f>
        <v>4050</v>
      </c>
      <c r="D18" s="18"/>
      <c r="E18" s="18"/>
      <c r="H18" s="29"/>
    </row>
    <row r="19" spans="1:8" x14ac:dyDescent="0.2">
      <c r="A19" s="1">
        <v>1800</v>
      </c>
      <c r="B19" s="18">
        <f t="shared" si="0"/>
        <v>41750</v>
      </c>
      <c r="C19" s="18">
        <f t="shared" si="1"/>
        <v>4500</v>
      </c>
      <c r="D19" s="18"/>
      <c r="E19" s="18"/>
      <c r="H19" s="29"/>
    </row>
    <row r="20" spans="1:8" x14ac:dyDescent="0.2">
      <c r="A20" s="1">
        <v>2000</v>
      </c>
      <c r="B20" s="18">
        <f t="shared" si="0"/>
        <v>45950</v>
      </c>
      <c r="C20" s="18">
        <f t="shared" si="1"/>
        <v>4950</v>
      </c>
      <c r="D20" s="18"/>
      <c r="E20" s="18"/>
      <c r="H20" s="29"/>
    </row>
    <row r="21" spans="1:8" x14ac:dyDescent="0.2">
      <c r="A21" s="1">
        <v>2200</v>
      </c>
      <c r="B21" s="18">
        <f t="shared" si="0"/>
        <v>50550</v>
      </c>
      <c r="C21" s="18">
        <f t="shared" si="1"/>
        <v>5450</v>
      </c>
      <c r="D21" s="18"/>
      <c r="E21" s="18"/>
      <c r="H21" s="29"/>
    </row>
    <row r="22" spans="1:8" x14ac:dyDescent="0.2">
      <c r="A22" s="9"/>
      <c r="B22" s="157"/>
      <c r="C22" s="157"/>
      <c r="D22" s="157"/>
      <c r="E22" s="157"/>
      <c r="H22" s="29"/>
    </row>
    <row r="23" spans="1:8" x14ac:dyDescent="0.2">
      <c r="A23" s="9"/>
      <c r="B23" s="157"/>
      <c r="C23" s="157"/>
      <c r="D23" s="157"/>
      <c r="E23" s="157"/>
      <c r="H23" s="29"/>
    </row>
    <row r="24" spans="1:8" x14ac:dyDescent="0.2">
      <c r="A24" s="2"/>
      <c r="B24" s="4"/>
      <c r="C24" s="2"/>
      <c r="D24" s="2"/>
      <c r="E24" s="2"/>
    </row>
    <row r="25" spans="1:8" x14ac:dyDescent="0.2">
      <c r="A25" s="2"/>
      <c r="B25" s="4"/>
      <c r="C25" s="2"/>
      <c r="D25" s="2"/>
      <c r="E25" s="2"/>
    </row>
    <row r="26" spans="1:8" ht="12.75" customHeight="1" x14ac:dyDescent="0.2">
      <c r="A26" s="154" t="s">
        <v>45</v>
      </c>
      <c r="B26" s="154"/>
      <c r="C26" s="154"/>
      <c r="D26" s="154"/>
      <c r="E26" s="154"/>
      <c r="F26" s="107"/>
      <c r="G26" s="107"/>
    </row>
    <row r="27" spans="1:8" x14ac:dyDescent="0.2">
      <c r="A27" s="31" t="s">
        <v>7</v>
      </c>
      <c r="B27" s="32"/>
      <c r="C27" s="33"/>
      <c r="D27" s="33"/>
      <c r="E27" s="34"/>
    </row>
    <row r="28" spans="1:8" x14ac:dyDescent="0.2">
      <c r="A28" s="22" t="s">
        <v>9</v>
      </c>
      <c r="B28" s="35" t="s">
        <v>6</v>
      </c>
      <c r="C28" s="36"/>
      <c r="D28" s="155"/>
      <c r="E28" s="156"/>
    </row>
    <row r="29" spans="1:8" x14ac:dyDescent="0.2">
      <c r="A29" s="23" t="s">
        <v>23</v>
      </c>
      <c r="B29" s="59">
        <v>450</v>
      </c>
      <c r="C29" s="60" t="s">
        <v>24</v>
      </c>
      <c r="D29" s="61"/>
      <c r="E29" s="59">
        <v>450</v>
      </c>
    </row>
    <row r="30" spans="1:8" x14ac:dyDescent="0.2">
      <c r="A30" s="23" t="s">
        <v>25</v>
      </c>
      <c r="B30" s="59">
        <v>4500</v>
      </c>
      <c r="C30" s="60" t="s">
        <v>26</v>
      </c>
      <c r="D30" s="62"/>
      <c r="E30" s="59">
        <v>4500</v>
      </c>
    </row>
    <row r="31" spans="1:8" x14ac:dyDescent="0.2">
      <c r="A31" s="28"/>
      <c r="B31" s="39"/>
      <c r="C31" s="28"/>
      <c r="D31" s="28"/>
      <c r="E31" s="28"/>
    </row>
    <row r="32" spans="1:8" x14ac:dyDescent="0.2">
      <c r="A32" s="31" t="s">
        <v>10</v>
      </c>
      <c r="B32" s="32"/>
      <c r="C32" s="33"/>
      <c r="D32" s="33"/>
      <c r="E32" s="40"/>
    </row>
    <row r="33" spans="1:8" x14ac:dyDescent="0.2">
      <c r="A33" s="41"/>
      <c r="B33" s="136" t="s">
        <v>51</v>
      </c>
      <c r="C33" s="136"/>
      <c r="D33" s="136"/>
      <c r="E33" s="137"/>
    </row>
    <row r="34" spans="1:8" s="104" customFormat="1" x14ac:dyDescent="0.2">
      <c r="A34" s="22" t="s">
        <v>27</v>
      </c>
      <c r="B34" s="59">
        <v>2250</v>
      </c>
      <c r="C34" s="20" t="s">
        <v>28</v>
      </c>
      <c r="D34" s="42"/>
      <c r="E34" s="59">
        <v>2250</v>
      </c>
      <c r="H34"/>
    </row>
    <row r="35" spans="1:8" s="104" customFormat="1" x14ac:dyDescent="0.2">
      <c r="A35" s="23" t="s">
        <v>29</v>
      </c>
      <c r="B35" s="59">
        <v>2250</v>
      </c>
      <c r="C35" s="43" t="s">
        <v>30</v>
      </c>
      <c r="D35" s="38"/>
      <c r="E35" s="59">
        <v>2250</v>
      </c>
      <c r="H35"/>
    </row>
    <row r="36" spans="1:8" s="104" customFormat="1" x14ac:dyDescent="0.2">
      <c r="A36" s="23" t="s">
        <v>31</v>
      </c>
      <c r="B36" s="59">
        <v>2250</v>
      </c>
      <c r="C36" s="43" t="s">
        <v>32</v>
      </c>
      <c r="D36" s="38"/>
      <c r="E36" s="59">
        <v>3000</v>
      </c>
      <c r="H36"/>
    </row>
    <row r="37" spans="1:8" s="104" customFormat="1" x14ac:dyDescent="0.2">
      <c r="A37" s="28"/>
      <c r="B37" s="39"/>
      <c r="C37" s="28"/>
      <c r="D37" s="28"/>
      <c r="E37" s="44"/>
      <c r="H37"/>
    </row>
    <row r="38" spans="1:8" s="104" customFormat="1" x14ac:dyDescent="0.2">
      <c r="A38" s="31" t="s">
        <v>35</v>
      </c>
      <c r="B38" s="32"/>
      <c r="C38" s="33"/>
      <c r="D38" s="33"/>
      <c r="E38" s="40"/>
      <c r="H38"/>
    </row>
    <row r="39" spans="1:8" s="104" customFormat="1" x14ac:dyDescent="0.2">
      <c r="A39" s="41"/>
      <c r="B39" s="136" t="s">
        <v>51</v>
      </c>
      <c r="C39" s="136"/>
      <c r="D39" s="136"/>
      <c r="E39" s="137"/>
      <c r="H39"/>
    </row>
    <row r="40" spans="1:8" s="104" customFormat="1" x14ac:dyDescent="0.2">
      <c r="A40" s="22" t="s">
        <v>15</v>
      </c>
      <c r="B40" s="59">
        <v>750</v>
      </c>
      <c r="C40" s="45" t="s">
        <v>36</v>
      </c>
      <c r="D40" s="42"/>
      <c r="E40" s="59">
        <v>1200</v>
      </c>
      <c r="H40"/>
    </row>
    <row r="41" spans="1:8" s="104" customFormat="1" x14ac:dyDescent="0.2">
      <c r="A41" s="23" t="s">
        <v>16</v>
      </c>
      <c r="B41" s="59">
        <v>750</v>
      </c>
      <c r="C41" s="43" t="s">
        <v>37</v>
      </c>
      <c r="D41" s="38"/>
      <c r="E41" s="59">
        <v>1200</v>
      </c>
      <c r="H41"/>
    </row>
    <row r="42" spans="1:8" s="104" customFormat="1" x14ac:dyDescent="0.2">
      <c r="A42" s="23" t="s">
        <v>17</v>
      </c>
      <c r="B42" s="59">
        <v>750</v>
      </c>
      <c r="C42" s="43" t="s">
        <v>39</v>
      </c>
      <c r="D42" s="38"/>
      <c r="E42" s="59">
        <v>1200</v>
      </c>
      <c r="H42"/>
    </row>
    <row r="43" spans="1:8" s="104" customFormat="1" x14ac:dyDescent="0.2">
      <c r="A43" s="28"/>
      <c r="B43" s="39"/>
      <c r="C43" s="28"/>
      <c r="D43" s="28"/>
      <c r="E43" s="28"/>
      <c r="H43"/>
    </row>
    <row r="44" spans="1:8" s="104" customFormat="1" x14ac:dyDescent="0.2">
      <c r="A44" s="31" t="s">
        <v>18</v>
      </c>
      <c r="B44" s="32"/>
      <c r="C44" s="33"/>
      <c r="D44" s="33"/>
      <c r="E44" s="40"/>
      <c r="H44"/>
    </row>
    <row r="45" spans="1:8" s="104" customFormat="1" x14ac:dyDescent="0.2">
      <c r="A45" s="27"/>
      <c r="B45" s="24" t="s">
        <v>42</v>
      </c>
      <c r="C45" s="19" t="s">
        <v>43</v>
      </c>
      <c r="D45" s="138" t="s">
        <v>52</v>
      </c>
      <c r="E45" s="139"/>
      <c r="H45"/>
    </row>
    <row r="46" spans="1:8" s="104" customFormat="1" x14ac:dyDescent="0.2">
      <c r="A46" s="23"/>
      <c r="B46" s="59">
        <v>2700</v>
      </c>
      <c r="C46" s="59">
        <v>3000</v>
      </c>
      <c r="D46" s="59"/>
      <c r="E46" s="59">
        <v>5250</v>
      </c>
      <c r="H46"/>
    </row>
    <row r="47" spans="1:8" s="104" customFormat="1" x14ac:dyDescent="0.2">
      <c r="A47" s="25"/>
      <c r="B47" s="99"/>
      <c r="C47" s="99"/>
      <c r="D47" s="99"/>
      <c r="E47" s="44"/>
      <c r="H47"/>
    </row>
    <row r="48" spans="1:8" s="104" customFormat="1" x14ac:dyDescent="0.2">
      <c r="A48" s="49" t="s">
        <v>19</v>
      </c>
      <c r="B48" s="38"/>
      <c r="C48" s="64"/>
      <c r="D48" s="59">
        <f>500*1.5</f>
        <v>750</v>
      </c>
      <c r="E48" s="65"/>
      <c r="H48"/>
    </row>
    <row r="49" spans="1:8" s="104" customFormat="1" x14ac:dyDescent="0.2">
      <c r="A49" s="53"/>
      <c r="B49" s="99"/>
      <c r="C49" s="99"/>
      <c r="D49" s="66"/>
      <c r="E49" s="99"/>
      <c r="H49"/>
    </row>
    <row r="50" spans="1:8" x14ac:dyDescent="0.2">
      <c r="A50" s="49" t="s">
        <v>38</v>
      </c>
      <c r="B50" s="32"/>
      <c r="C50" s="65"/>
      <c r="D50" s="59">
        <f>2000*1.5</f>
        <v>3000</v>
      </c>
      <c r="E50" s="65"/>
    </row>
    <row r="53" spans="1:8" x14ac:dyDescent="0.2">
      <c r="A53" s="6"/>
      <c r="B53" s="5"/>
    </row>
    <row r="54" spans="1:8" x14ac:dyDescent="0.2">
      <c r="A54" s="2"/>
      <c r="B54" s="5"/>
    </row>
    <row r="55" spans="1:8" x14ac:dyDescent="0.2">
      <c r="A55" s="2"/>
      <c r="B55" s="5"/>
    </row>
    <row r="56" spans="1:8" x14ac:dyDescent="0.2">
      <c r="A56" s="2"/>
      <c r="B56" s="10"/>
    </row>
    <row r="57" spans="1:8" x14ac:dyDescent="0.2">
      <c r="A57" s="2"/>
      <c r="B57" s="8"/>
    </row>
    <row r="58" spans="1:8" x14ac:dyDescent="0.2">
      <c r="A58" s="2"/>
      <c r="B58" s="7"/>
    </row>
    <row r="59" spans="1:8" x14ac:dyDescent="0.2">
      <c r="A59" s="2"/>
      <c r="B59" s="7"/>
    </row>
    <row r="60" spans="1:8" x14ac:dyDescent="0.2">
      <c r="A60" s="2"/>
      <c r="B60" s="7"/>
    </row>
  </sheetData>
  <mergeCells count="18">
    <mergeCell ref="A2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26:E26"/>
    <mergeCell ref="D28:E28"/>
    <mergeCell ref="B33:E33"/>
    <mergeCell ref="B39:E39"/>
    <mergeCell ref="D45:E45"/>
  </mergeCells>
  <pageMargins left="0.75" right="0.75" top="1" bottom="1" header="0.5" footer="0.5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Zakresy nazwane</vt:lpstr>
      </vt:variant>
      <vt:variant>
        <vt:i4>4</vt:i4>
      </vt:variant>
    </vt:vector>
  </HeadingPairs>
  <TitlesOfParts>
    <vt:vector size="8" baseType="lpstr">
      <vt:lpstr>DN 1000, DN 1200</vt:lpstr>
      <vt:lpstr>DN 1500</vt:lpstr>
      <vt:lpstr>DN 2000</vt:lpstr>
      <vt:lpstr>DN 2500</vt:lpstr>
      <vt:lpstr>'DN 1000, DN 1200'!Obszar_wydruku</vt:lpstr>
      <vt:lpstr>'DN 1500'!Obszar_wydruku</vt:lpstr>
      <vt:lpstr>'DN 2000'!Obszar_wydruku</vt:lpstr>
      <vt:lpstr>'DN 2500'!Obszar_wydruku</vt:lpstr>
    </vt:vector>
  </TitlesOfParts>
  <Company>Preco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Preisliste 2002 Austria</dc:title>
  <dc:creator>Paul Sudbrink</dc:creator>
  <dc:description>Preisliste ergänzt am 2002-02.18 um DN 600 + 800_x000d_
Ansicht überarbeitet von PS desgleichen</dc:description>
  <cp:lastModifiedBy>Blody Traveler</cp:lastModifiedBy>
  <cp:lastPrinted>2021-12-06T05:57:29Z</cp:lastPrinted>
  <dcterms:created xsi:type="dcterms:W3CDTF">2001-09-18T07:44:37Z</dcterms:created>
  <dcterms:modified xsi:type="dcterms:W3CDTF">2026-05-05T16:24:07Z</dcterms:modified>
</cp:coreProperties>
</file>